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4jaco\Documents\DiceScribe-main\DiceScribe-main\DiceScribe\"/>
    </mc:Choice>
  </mc:AlternateContent>
  <xr:revisionPtr revIDLastSave="0" documentId="13_ncr:1_{CD9AF593-655D-4DA8-80D9-8E913DC80752}" xr6:coauthVersionLast="47" xr6:coauthVersionMax="47" xr10:uidLastSave="{00000000-0000-0000-0000-000000000000}"/>
  <bookViews>
    <workbookView xWindow="6400" yWindow="720" windowWidth="19200" windowHeight="10060" xr2:uid="{00000000-000D-0000-FFFF-FFFF00000000}"/>
  </bookViews>
  <sheets>
    <sheet name="Sheet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D7" i="1"/>
  <c r="D13" i="1"/>
  <c r="D17" i="1"/>
  <c r="D21" i="1"/>
  <c r="D25" i="1"/>
  <c r="D29" i="1"/>
  <c r="D33" i="1"/>
  <c r="D32" i="1"/>
  <c r="D28" i="1"/>
  <c r="D24" i="1"/>
  <c r="D20" i="1"/>
  <c r="D16" i="1"/>
  <c r="D12" i="1"/>
  <c r="D27" i="1"/>
  <c r="D31" i="1"/>
  <c r="D23" i="1"/>
  <c r="D19" i="1"/>
  <c r="D15" i="1"/>
  <c r="D11" i="1"/>
  <c r="E9" i="2"/>
  <c r="E8" i="2"/>
  <c r="E7" i="2"/>
  <c r="E6" i="2"/>
  <c r="E5" i="2"/>
  <c r="B27" i="2" s="1"/>
  <c r="E4" i="2"/>
  <c r="D5" i="1"/>
  <c r="D9" i="2"/>
  <c r="D8" i="2"/>
  <c r="D7" i="2"/>
  <c r="D6" i="2"/>
  <c r="D5" i="2"/>
  <c r="D4" i="2"/>
  <c r="B29" i="2" l="1"/>
  <c r="B30" i="2"/>
</calcChain>
</file>

<file path=xl/sharedStrings.xml><?xml version="1.0" encoding="utf-8"?>
<sst xmlns="http://schemas.openxmlformats.org/spreadsheetml/2006/main" count="138" uniqueCount="78">
  <si>
    <t>Character Name</t>
  </si>
  <si>
    <t>Class</t>
  </si>
  <si>
    <t>Subclass</t>
  </si>
  <si>
    <t>Level</t>
  </si>
  <si>
    <t>Race</t>
  </si>
  <si>
    <t>Health</t>
  </si>
  <si>
    <t>Strength</t>
  </si>
  <si>
    <t>Dexterity</t>
  </si>
  <si>
    <t>Constitution</t>
  </si>
  <si>
    <t>Intelligence</t>
  </si>
  <si>
    <t>Wisdom</t>
  </si>
  <si>
    <t>Charisma</t>
  </si>
  <si>
    <t>Total</t>
  </si>
  <si>
    <t>Mod</t>
  </si>
  <si>
    <t>Max</t>
  </si>
  <si>
    <t>Current</t>
  </si>
  <si>
    <t>Temp.</t>
  </si>
  <si>
    <t>Armor Class</t>
  </si>
  <si>
    <t>Speed</t>
  </si>
  <si>
    <t>Initiative</t>
  </si>
  <si>
    <t>30ft</t>
  </si>
  <si>
    <t>Skills</t>
  </si>
  <si>
    <t>Acrobatics</t>
  </si>
  <si>
    <t>Animal Handling</t>
  </si>
  <si>
    <t>Arcana</t>
  </si>
  <si>
    <t>Athletics</t>
  </si>
  <si>
    <t>Deception</t>
  </si>
  <si>
    <t>History</t>
  </si>
  <si>
    <t>Insight</t>
  </si>
  <si>
    <t>Intimidation</t>
  </si>
  <si>
    <t>Investigation</t>
  </si>
  <si>
    <t>Medicine</t>
  </si>
  <si>
    <t>Nature</t>
  </si>
  <si>
    <t>Perception</t>
  </si>
  <si>
    <t>Performance</t>
  </si>
  <si>
    <t>Persuasion</t>
  </si>
  <si>
    <t>Religion</t>
  </si>
  <si>
    <t>Sleight of Hand</t>
  </si>
  <si>
    <t>Stealth</t>
  </si>
  <si>
    <t>Survival</t>
  </si>
  <si>
    <t>Proficiency</t>
  </si>
  <si>
    <t>class</t>
  </si>
  <si>
    <t>hit die</t>
  </si>
  <si>
    <t>Save 1</t>
  </si>
  <si>
    <t>Save 2</t>
  </si>
  <si>
    <t>Save</t>
  </si>
  <si>
    <t>Hit Dice Type</t>
  </si>
  <si>
    <t>Prof</t>
  </si>
  <si>
    <t>Artificer</t>
  </si>
  <si>
    <t>Barbarian</t>
  </si>
  <si>
    <t>Bard</t>
  </si>
  <si>
    <t>Cleric</t>
  </si>
  <si>
    <t>Druid</t>
  </si>
  <si>
    <t>Fighter</t>
  </si>
  <si>
    <t>Monk</t>
  </si>
  <si>
    <t>Ranger</t>
  </si>
  <si>
    <t>Rogue</t>
  </si>
  <si>
    <t>Paladin</t>
  </si>
  <si>
    <t>Sorcerer</t>
  </si>
  <si>
    <t>Wizard</t>
  </si>
  <si>
    <t>Warlock</t>
  </si>
  <si>
    <t>d8</t>
  </si>
  <si>
    <t>d12</t>
  </si>
  <si>
    <t>d10</t>
  </si>
  <si>
    <t>d6</t>
  </si>
  <si>
    <t>Charisma </t>
  </si>
  <si>
    <t>Wisdom </t>
  </si>
  <si>
    <t>Base</t>
  </si>
  <si>
    <t>added</t>
  </si>
  <si>
    <t>Half plate</t>
  </si>
  <si>
    <t>Plate</t>
  </si>
  <si>
    <t>Leather</t>
  </si>
  <si>
    <t>None</t>
  </si>
  <si>
    <t>Armor</t>
  </si>
  <si>
    <t>total</t>
  </si>
  <si>
    <t>mod</t>
  </si>
  <si>
    <t>Rolled Health</t>
  </si>
  <si>
    <t>Prof.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</si>
</sst>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3"/>
  <sheetViews>
    <sheetView tabSelected="1" topLeftCell="A16" workbookViewId="0">
      <selection activeCell="H4" sqref="H1:H1048576"/>
    </sheetView>
  </sheetViews>
  <sheetFormatPr defaultRowHeight="14.5" x14ac:dyDescent="0.35"/>
  <cols>
    <col min="1" max="1" width="2" customWidth="1"/>
    <col min="2" max="2" width="18.08984375" customWidth="1"/>
    <col min="3" max="3" width="7.1796875" bestFit="1" customWidth="1"/>
    <col min="4" max="4" width="11.26953125" bestFit="1" customWidth="1"/>
    <col min="5" max="5" width="17.453125" customWidth="1"/>
    <col min="6" max="6" width="14.54296875" bestFit="1" customWidth="1"/>
    <col min="7" max="7" width="4.81640625" bestFit="1" customWidth="1"/>
  </cols>
  <sheetData>
    <row r="2" spans="2:7" x14ac:dyDescent="0.35">
      <c r="B2" s="1" t="s">
        <v>0</v>
      </c>
      <c r="D2" s="1" t="s">
        <v>1</v>
      </c>
      <c r="E2" s="1" t="s">
        <v>2</v>
      </c>
      <c r="F2" s="1" t="s">
        <v>4</v>
      </c>
    </row>
    <row r="3" spans="2:7" x14ac:dyDescent="0.35">
      <c r="B3" s="1"/>
      <c r="D3" s="1"/>
      <c r="E3" s="1"/>
      <c r="F3" s="1"/>
    </row>
    <row r="4" spans="2:7" x14ac:dyDescent="0.35">
      <c r="C4" s="1" t="s">
        <v>3</v>
      </c>
      <c r="D4" s="1" t="s">
        <v>40</v>
      </c>
    </row>
    <row r="5" spans="2:7" x14ac:dyDescent="0.35">
      <c r="C5" s="1">
        <v>1</v>
      </c>
      <c r="D5" s="1">
        <f>ROUNDDOWN(((C5-1)/4+2),0)</f>
        <v>2</v>
      </c>
    </row>
    <row r="6" spans="2:7" x14ac:dyDescent="0.35">
      <c r="B6" s="2" t="s">
        <v>47</v>
      </c>
      <c r="C6" s="1">
        <v>0</v>
      </c>
      <c r="D6" s="1" t="s">
        <v>5</v>
      </c>
      <c r="E6" s="1" t="s">
        <v>17</v>
      </c>
      <c r="F6" s="1" t="s">
        <v>19</v>
      </c>
    </row>
    <row r="7" spans="2:7" x14ac:dyDescent="0.35">
      <c r="C7" s="1" t="s">
        <v>14</v>
      </c>
      <c r="D7" s="1">
        <f>(C5*D20)+Sheet1!B10</f>
        <v>0</v>
      </c>
      <c r="E7" s="4"/>
      <c r="F7" s="1">
        <f>D16</f>
        <v>0</v>
      </c>
    </row>
    <row r="8" spans="2:7" x14ac:dyDescent="0.35">
      <c r="C8" s="1" t="s">
        <v>15</v>
      </c>
      <c r="D8" s="1"/>
      <c r="E8" s="1" t="s">
        <v>46</v>
      </c>
      <c r="F8" s="1" t="s">
        <v>18</v>
      </c>
    </row>
    <row r="9" spans="2:7" x14ac:dyDescent="0.35">
      <c r="C9" s="1" t="s">
        <v>16</v>
      </c>
      <c r="D9" s="1">
        <v>0</v>
      </c>
      <c r="E9" s="1"/>
      <c r="F9" s="1" t="s">
        <v>20</v>
      </c>
    </row>
    <row r="10" spans="2:7" x14ac:dyDescent="0.35">
      <c r="B10" s="2" t="s">
        <v>47</v>
      </c>
      <c r="C10" s="1">
        <v>0</v>
      </c>
      <c r="D10" s="1" t="s">
        <v>6</v>
      </c>
    </row>
    <row r="11" spans="2:7" x14ac:dyDescent="0.35">
      <c r="C11" s="1" t="s">
        <v>12</v>
      </c>
      <c r="D11" s="1">
        <f>Sheet1!D4</f>
        <v>10</v>
      </c>
      <c r="F11" s="1" t="s">
        <v>21</v>
      </c>
      <c r="G11" t="s">
        <v>77</v>
      </c>
    </row>
    <row r="12" spans="2:7" x14ac:dyDescent="0.35">
      <c r="C12" s="1" t="s">
        <v>13</v>
      </c>
      <c r="D12" s="1">
        <f>Sheet1!E4</f>
        <v>0</v>
      </c>
      <c r="F12" s="1" t="s">
        <v>22</v>
      </c>
      <c r="G12" s="1">
        <v>0</v>
      </c>
    </row>
    <row r="13" spans="2:7" x14ac:dyDescent="0.35">
      <c r="C13" s="1" t="s">
        <v>45</v>
      </c>
      <c r="D13" s="1">
        <f>C10+D12</f>
        <v>0</v>
      </c>
      <c r="F13" s="1" t="s">
        <v>23</v>
      </c>
      <c r="G13" s="1">
        <v>0</v>
      </c>
    </row>
    <row r="14" spans="2:7" x14ac:dyDescent="0.35">
      <c r="B14" s="2" t="s">
        <v>47</v>
      </c>
      <c r="C14" s="1">
        <v>0</v>
      </c>
      <c r="D14" s="1" t="s">
        <v>7</v>
      </c>
      <c r="F14" s="1" t="s">
        <v>24</v>
      </c>
      <c r="G14" s="1">
        <v>0</v>
      </c>
    </row>
    <row r="15" spans="2:7" x14ac:dyDescent="0.35">
      <c r="C15" s="1" t="s">
        <v>12</v>
      </c>
      <c r="D15" s="1">
        <f>Sheet1!D5</f>
        <v>10</v>
      </c>
      <c r="F15" s="1" t="s">
        <v>25</v>
      </c>
      <c r="G15" s="1">
        <v>0</v>
      </c>
    </row>
    <row r="16" spans="2:7" x14ac:dyDescent="0.35">
      <c r="C16" s="1" t="s">
        <v>13</v>
      </c>
      <c r="D16" s="1">
        <f>Sheet1!E5</f>
        <v>0</v>
      </c>
      <c r="F16" s="1" t="s">
        <v>26</v>
      </c>
      <c r="G16" s="1">
        <v>0</v>
      </c>
    </row>
    <row r="17" spans="2:7" x14ac:dyDescent="0.35">
      <c r="C17" s="1" t="s">
        <v>45</v>
      </c>
      <c r="D17" s="1">
        <f>C14+D16</f>
        <v>0</v>
      </c>
      <c r="F17" s="1" t="s">
        <v>27</v>
      </c>
      <c r="G17" s="1">
        <v>0</v>
      </c>
    </row>
    <row r="18" spans="2:7" x14ac:dyDescent="0.35">
      <c r="B18" s="2" t="s">
        <v>47</v>
      </c>
      <c r="C18" s="1">
        <v>0</v>
      </c>
      <c r="D18" s="1" t="s">
        <v>8</v>
      </c>
      <c r="F18" s="1" t="s">
        <v>28</v>
      </c>
      <c r="G18" s="1">
        <v>0</v>
      </c>
    </row>
    <row r="19" spans="2:7" x14ac:dyDescent="0.35">
      <c r="C19" s="1" t="s">
        <v>12</v>
      </c>
      <c r="D19" s="1">
        <f>Sheet1!D6</f>
        <v>10</v>
      </c>
      <c r="F19" s="1" t="s">
        <v>29</v>
      </c>
      <c r="G19" s="1">
        <v>0</v>
      </c>
    </row>
    <row r="20" spans="2:7" x14ac:dyDescent="0.35">
      <c r="C20" s="1" t="s">
        <v>13</v>
      </c>
      <c r="D20" s="1">
        <f>Sheet1!E6</f>
        <v>0</v>
      </c>
      <c r="F20" s="1" t="s">
        <v>30</v>
      </c>
      <c r="G20" s="1">
        <v>0</v>
      </c>
    </row>
    <row r="21" spans="2:7" x14ac:dyDescent="0.35">
      <c r="C21" s="1" t="s">
        <v>45</v>
      </c>
      <c r="D21" s="1">
        <f>C18+D20</f>
        <v>0</v>
      </c>
      <c r="F21" s="1" t="s">
        <v>31</v>
      </c>
      <c r="G21" s="1">
        <v>0</v>
      </c>
    </row>
    <row r="22" spans="2:7" x14ac:dyDescent="0.35">
      <c r="B22" s="2" t="s">
        <v>47</v>
      </c>
      <c r="C22" s="1">
        <v>0</v>
      </c>
      <c r="D22" s="1" t="s">
        <v>9</v>
      </c>
      <c r="F22" s="1" t="s">
        <v>32</v>
      </c>
      <c r="G22" s="1">
        <v>0</v>
      </c>
    </row>
    <row r="23" spans="2:7" x14ac:dyDescent="0.35">
      <c r="C23" s="1" t="s">
        <v>12</v>
      </c>
      <c r="D23" s="1">
        <f>Sheet1!D7</f>
        <v>10</v>
      </c>
      <c r="F23" s="1" t="s">
        <v>33</v>
      </c>
      <c r="G23" s="1">
        <v>0</v>
      </c>
    </row>
    <row r="24" spans="2:7" x14ac:dyDescent="0.35">
      <c r="C24" s="1" t="s">
        <v>13</v>
      </c>
      <c r="D24" s="1">
        <f>Sheet1!E7</f>
        <v>0</v>
      </c>
      <c r="F24" s="1" t="s">
        <v>34</v>
      </c>
      <c r="G24" s="1">
        <v>0</v>
      </c>
    </row>
    <row r="25" spans="2:7" x14ac:dyDescent="0.35">
      <c r="C25" s="1" t="s">
        <v>45</v>
      </c>
      <c r="D25" s="1">
        <f>C22+D24</f>
        <v>0</v>
      </c>
      <c r="F25" s="1" t="s">
        <v>35</v>
      </c>
      <c r="G25" s="1">
        <v>0</v>
      </c>
    </row>
    <row r="26" spans="2:7" x14ac:dyDescent="0.35">
      <c r="B26" s="2" t="s">
        <v>47</v>
      </c>
      <c r="C26" s="1">
        <v>0</v>
      </c>
      <c r="D26" s="1" t="s">
        <v>10</v>
      </c>
      <c r="F26" s="1" t="s">
        <v>36</v>
      </c>
      <c r="G26" s="1">
        <v>0</v>
      </c>
    </row>
    <row r="27" spans="2:7" x14ac:dyDescent="0.35">
      <c r="C27" s="1" t="s">
        <v>12</v>
      </c>
      <c r="D27" s="1">
        <f>Sheet1!D8</f>
        <v>10</v>
      </c>
      <c r="F27" s="1" t="s">
        <v>37</v>
      </c>
      <c r="G27" s="1">
        <v>0</v>
      </c>
    </row>
    <row r="28" spans="2:7" x14ac:dyDescent="0.35">
      <c r="C28" s="1" t="s">
        <v>13</v>
      </c>
      <c r="D28" s="1">
        <f>Sheet1!E8</f>
        <v>0</v>
      </c>
      <c r="F28" s="1" t="s">
        <v>38</v>
      </c>
      <c r="G28" s="1">
        <v>0</v>
      </c>
    </row>
    <row r="29" spans="2:7" x14ac:dyDescent="0.35">
      <c r="C29" s="1" t="s">
        <v>45</v>
      </c>
      <c r="D29" s="1">
        <f>C26+D28</f>
        <v>0</v>
      </c>
      <c r="F29" s="1" t="s">
        <v>39</v>
      </c>
      <c r="G29" s="1">
        <v>0</v>
      </c>
    </row>
    <row r="30" spans="2:7" x14ac:dyDescent="0.35">
      <c r="B30" s="2" t="s">
        <v>47</v>
      </c>
      <c r="C30" s="1">
        <v>0</v>
      </c>
      <c r="D30" s="1" t="s">
        <v>11</v>
      </c>
    </row>
    <row r="31" spans="2:7" x14ac:dyDescent="0.35">
      <c r="C31" s="1" t="s">
        <v>12</v>
      </c>
      <c r="D31" s="1">
        <f>Sheet1!D9</f>
        <v>10</v>
      </c>
    </row>
    <row r="32" spans="2:7" x14ac:dyDescent="0.35">
      <c r="C32" s="1" t="s">
        <v>13</v>
      </c>
      <c r="D32" s="1">
        <f>Sheet1!E9</f>
        <v>0</v>
      </c>
    </row>
    <row r="33" spans="3:4" x14ac:dyDescent="0.35">
      <c r="C33" s="1" t="s">
        <v>45</v>
      </c>
      <c r="D33" s="1">
        <f>(C30+D32)</f>
        <v>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0AB5-C985-4950-B6B7-BB39223EC246}">
  <dimension ref="A3:E30"/>
  <sheetViews>
    <sheetView workbookViewId="0">
      <selection activeCell="B10" sqref="B10"/>
    </sheetView>
  </sheetViews>
  <sheetFormatPr defaultRowHeight="14.5" x14ac:dyDescent="0.35"/>
  <cols>
    <col min="1" max="1" width="12" bestFit="1" customWidth="1"/>
    <col min="2" max="2" width="15.7265625" bestFit="1" customWidth="1"/>
    <col min="3" max="3" width="17.36328125" bestFit="1" customWidth="1"/>
    <col min="4" max="4" width="11" bestFit="1" customWidth="1"/>
    <col min="5" max="5" width="4.6328125" bestFit="1" customWidth="1"/>
  </cols>
  <sheetData>
    <row r="3" spans="1:5" x14ac:dyDescent="0.35">
      <c r="A3" s="4"/>
      <c r="B3" s="4" t="s">
        <v>67</v>
      </c>
      <c r="C3" s="4" t="s">
        <v>68</v>
      </c>
      <c r="D3" s="4" t="s">
        <v>74</v>
      </c>
      <c r="E3" s="4" t="s">
        <v>75</v>
      </c>
    </row>
    <row r="4" spans="1:5" x14ac:dyDescent="0.35">
      <c r="A4" s="4" t="s">
        <v>6</v>
      </c>
      <c r="B4" s="4">
        <v>10</v>
      </c>
      <c r="C4" s="4">
        <v>0</v>
      </c>
      <c r="D4" s="4">
        <f t="shared" ref="D4:D9" si="0">B4+C4</f>
        <v>10</v>
      </c>
      <c r="E4" s="4">
        <f t="shared" ref="E4:E9" si="1">ROUNDDOWN((D4 - 10) / 2,0)</f>
        <v>0</v>
      </c>
    </row>
    <row r="5" spans="1:5" x14ac:dyDescent="0.35">
      <c r="A5" s="4" t="s">
        <v>7</v>
      </c>
      <c r="B5" s="4">
        <v>10</v>
      </c>
      <c r="C5" s="4">
        <v>0</v>
      </c>
      <c r="D5" s="4">
        <f t="shared" si="0"/>
        <v>10</v>
      </c>
      <c r="E5" s="4">
        <f t="shared" si="1"/>
        <v>0</v>
      </c>
    </row>
    <row r="6" spans="1:5" x14ac:dyDescent="0.35">
      <c r="A6" s="4" t="s">
        <v>8</v>
      </c>
      <c r="B6" s="4">
        <v>10</v>
      </c>
      <c r="C6" s="4">
        <v>0</v>
      </c>
      <c r="D6" s="4">
        <f t="shared" si="0"/>
        <v>10</v>
      </c>
      <c r="E6" s="4">
        <f t="shared" si="1"/>
        <v>0</v>
      </c>
    </row>
    <row r="7" spans="1:5" x14ac:dyDescent="0.35">
      <c r="A7" s="4" t="s">
        <v>9</v>
      </c>
      <c r="B7" s="4">
        <v>10</v>
      </c>
      <c r="C7" s="4">
        <v>0</v>
      </c>
      <c r="D7" s="4">
        <f t="shared" si="0"/>
        <v>10</v>
      </c>
      <c r="E7" s="4">
        <f t="shared" si="1"/>
        <v>0</v>
      </c>
    </row>
    <row r="8" spans="1:5" x14ac:dyDescent="0.35">
      <c r="A8" s="4" t="s">
        <v>10</v>
      </c>
      <c r="B8" s="4">
        <v>10</v>
      </c>
      <c r="C8" s="4">
        <v>0</v>
      </c>
      <c r="D8" s="4">
        <f t="shared" si="0"/>
        <v>10</v>
      </c>
      <c r="E8" s="4">
        <f t="shared" si="1"/>
        <v>0</v>
      </c>
    </row>
    <row r="9" spans="1:5" x14ac:dyDescent="0.35">
      <c r="A9" s="4" t="s">
        <v>11</v>
      </c>
      <c r="B9" s="4">
        <v>10</v>
      </c>
      <c r="C9" s="4">
        <v>0</v>
      </c>
      <c r="D9" s="4">
        <f t="shared" si="0"/>
        <v>10</v>
      </c>
      <c r="E9" s="4">
        <f t="shared" si="1"/>
        <v>0</v>
      </c>
    </row>
    <row r="10" spans="1:5" x14ac:dyDescent="0.35">
      <c r="A10" s="4" t="s">
        <v>76</v>
      </c>
      <c r="B10" s="4"/>
    </row>
    <row r="11" spans="1:5" x14ac:dyDescent="0.35">
      <c r="A11" s="4" t="s">
        <v>41</v>
      </c>
      <c r="B11" s="4" t="s">
        <v>42</v>
      </c>
      <c r="C11" s="4" t="s">
        <v>43</v>
      </c>
      <c r="D11" s="4" t="s">
        <v>44</v>
      </c>
    </row>
    <row r="12" spans="1:5" x14ac:dyDescent="0.35">
      <c r="A12" s="4" t="s">
        <v>48</v>
      </c>
      <c r="B12" s="4" t="s">
        <v>61</v>
      </c>
      <c r="C12" s="4" t="s">
        <v>8</v>
      </c>
      <c r="D12" s="4" t="s">
        <v>9</v>
      </c>
    </row>
    <row r="13" spans="1:5" x14ac:dyDescent="0.35">
      <c r="A13" s="4" t="s">
        <v>49</v>
      </c>
      <c r="B13" s="4" t="s">
        <v>62</v>
      </c>
      <c r="C13" s="4" t="s">
        <v>6</v>
      </c>
      <c r="D13" s="4" t="s">
        <v>8</v>
      </c>
    </row>
    <row r="14" spans="1:5" x14ac:dyDescent="0.35">
      <c r="A14" s="4" t="s">
        <v>50</v>
      </c>
      <c r="B14" s="4" t="s">
        <v>61</v>
      </c>
      <c r="C14" s="4" t="s">
        <v>7</v>
      </c>
      <c r="D14" s="4" t="s">
        <v>11</v>
      </c>
    </row>
    <row r="15" spans="1:5" x14ac:dyDescent="0.35">
      <c r="A15" s="4" t="s">
        <v>51</v>
      </c>
      <c r="B15" s="4" t="s">
        <v>61</v>
      </c>
      <c r="C15" s="4" t="s">
        <v>10</v>
      </c>
      <c r="D15" s="4" t="s">
        <v>11</v>
      </c>
    </row>
    <row r="16" spans="1:5" x14ac:dyDescent="0.35">
      <c r="A16" s="4" t="s">
        <v>52</v>
      </c>
      <c r="B16" s="4" t="s">
        <v>61</v>
      </c>
      <c r="C16" s="4" t="s">
        <v>9</v>
      </c>
      <c r="D16" s="4" t="s">
        <v>66</v>
      </c>
    </row>
    <row r="17" spans="1:4" x14ac:dyDescent="0.35">
      <c r="A17" s="4" t="s">
        <v>53</v>
      </c>
      <c r="B17" s="4" t="s">
        <v>63</v>
      </c>
      <c r="C17" s="4" t="s">
        <v>6</v>
      </c>
      <c r="D17" s="4" t="s">
        <v>8</v>
      </c>
    </row>
    <row r="18" spans="1:4" x14ac:dyDescent="0.35">
      <c r="A18" s="4" t="s">
        <v>54</v>
      </c>
      <c r="B18" s="4" t="s">
        <v>61</v>
      </c>
      <c r="C18" s="4" t="s">
        <v>6</v>
      </c>
      <c r="D18" s="4" t="s">
        <v>7</v>
      </c>
    </row>
    <row r="19" spans="1:4" x14ac:dyDescent="0.35">
      <c r="A19" s="4" t="s">
        <v>55</v>
      </c>
      <c r="B19" s="4" t="s">
        <v>63</v>
      </c>
      <c r="C19" s="4" t="s">
        <v>6</v>
      </c>
      <c r="D19" s="4" t="s">
        <v>7</v>
      </c>
    </row>
    <row r="20" spans="1:4" x14ac:dyDescent="0.35">
      <c r="A20" s="4" t="s">
        <v>56</v>
      </c>
      <c r="B20" s="4" t="s">
        <v>61</v>
      </c>
      <c r="C20" s="4" t="s">
        <v>7</v>
      </c>
      <c r="D20" s="4" t="s">
        <v>9</v>
      </c>
    </row>
    <row r="21" spans="1:4" x14ac:dyDescent="0.35">
      <c r="A21" s="4" t="s">
        <v>57</v>
      </c>
      <c r="B21" s="4" t="s">
        <v>63</v>
      </c>
      <c r="C21" s="4" t="s">
        <v>10</v>
      </c>
      <c r="D21" s="4" t="s">
        <v>65</v>
      </c>
    </row>
    <row r="22" spans="1:4" x14ac:dyDescent="0.35">
      <c r="A22" s="4" t="s">
        <v>58</v>
      </c>
      <c r="B22" s="4" t="s">
        <v>64</v>
      </c>
      <c r="C22" s="4" t="s">
        <v>10</v>
      </c>
      <c r="D22" s="4" t="s">
        <v>65</v>
      </c>
    </row>
    <row r="23" spans="1:4" x14ac:dyDescent="0.35">
      <c r="A23" s="4" t="s">
        <v>59</v>
      </c>
      <c r="B23" s="4" t="s">
        <v>64</v>
      </c>
      <c r="C23" s="4" t="s">
        <v>9</v>
      </c>
      <c r="D23" s="4" t="s">
        <v>10</v>
      </c>
    </row>
    <row r="24" spans="1:4" x14ac:dyDescent="0.35">
      <c r="A24" s="4" t="s">
        <v>60</v>
      </c>
      <c r="B24" s="4" t="s">
        <v>61</v>
      </c>
      <c r="C24" s="4" t="s">
        <v>10</v>
      </c>
      <c r="D24" s="4" t="s">
        <v>65</v>
      </c>
    </row>
    <row r="26" spans="1:4" x14ac:dyDescent="0.35">
      <c r="A26" s="3" t="s">
        <v>73</v>
      </c>
    </row>
    <row r="27" spans="1:4" x14ac:dyDescent="0.35">
      <c r="A27" s="3" t="s">
        <v>71</v>
      </c>
      <c r="B27">
        <f>E5+11</f>
        <v>11</v>
      </c>
    </row>
    <row r="28" spans="1:4" x14ac:dyDescent="0.35">
      <c r="A28" s="3" t="s">
        <v>70</v>
      </c>
      <c r="B28">
        <v>18</v>
      </c>
    </row>
    <row r="29" spans="1:4" x14ac:dyDescent="0.35">
      <c r="A29" s="3" t="s">
        <v>69</v>
      </c>
      <c r="B29">
        <f>15+E5</f>
        <v>15</v>
      </c>
    </row>
    <row r="30" spans="1:4" x14ac:dyDescent="0.35">
      <c r="A30" s="3" t="s">
        <v>72</v>
      </c>
      <c r="B30">
        <f>E5+10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Pellegrino (JMPELL7673)</cp:lastModifiedBy>
  <dcterms:created xsi:type="dcterms:W3CDTF">2025-04-30T05:54:16Z</dcterms:created>
  <dcterms:modified xsi:type="dcterms:W3CDTF">2025-04-30T08:00:30Z</dcterms:modified>
</cp:coreProperties>
</file>